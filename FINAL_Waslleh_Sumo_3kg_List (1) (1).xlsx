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4FE339F-3D2A-40C1-A817-21CE84D191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l Waslleh Sumo List" sheetId="1" r:id="rId1"/>
  </sheets>
  <calcPr calcId="191029"/>
</workbook>
</file>

<file path=xl/calcChain.xml><?xml version="1.0" encoding="utf-8"?>
<calcChain xmlns="http://schemas.openxmlformats.org/spreadsheetml/2006/main">
  <c r="F18" i="1" l="1"/>
  <c r="F20" i="1" s="1"/>
  <c r="F17" i="1"/>
  <c r="F16" i="1"/>
  <c r="F15" i="1"/>
  <c r="F14" i="1"/>
  <c r="F13" i="1"/>
  <c r="F12" i="1"/>
  <c r="F6" i="1"/>
  <c r="F5" i="1"/>
  <c r="F11" i="1" l="1"/>
  <c r="F10" i="1"/>
  <c r="F9" i="1"/>
  <c r="F8" i="1"/>
  <c r="F7" i="1"/>
  <c r="F4" i="1"/>
  <c r="F3" i="1"/>
  <c r="F2" i="1"/>
  <c r="M2" i="1" l="1"/>
  <c r="M3" i="1" s="1"/>
</calcChain>
</file>

<file path=xl/sharedStrings.xml><?xml version="1.0" encoding="utf-8"?>
<sst xmlns="http://schemas.openxmlformats.org/spreadsheetml/2006/main" count="97" uniqueCount="82">
  <si>
    <t>Category</t>
  </si>
  <si>
    <t>Item</t>
  </si>
  <si>
    <t>Model / Spec</t>
  </si>
  <si>
    <t>Qty</t>
  </si>
  <si>
    <t>Unit Price (JD)</t>
  </si>
  <si>
    <t>Total (JD)</t>
  </si>
  <si>
    <t>Weight (g)</t>
  </si>
  <si>
    <t>Dimensions</t>
  </si>
  <si>
    <t>Notes</t>
  </si>
  <si>
    <t>Waslleh Link</t>
  </si>
  <si>
    <t>Motor</t>
  </si>
  <si>
    <t>DC Gear Motor</t>
  </si>
  <si>
    <t>37x70mm, shaft 6mm</t>
  </si>
  <si>
    <t>Recommended torque for 3kg class</t>
  </si>
  <si>
    <t>Estimated Total</t>
  </si>
  <si>
    <t>Wheels</t>
  </si>
  <si>
    <t>Silicone Wheels</t>
  </si>
  <si>
    <t>Diameter 74mm, width ~44mm, bore 6mm</t>
  </si>
  <si>
    <t>Best grip for Mega Sumo</t>
  </si>
  <si>
    <t>Remaining</t>
  </si>
  <si>
    <t>Driver</t>
  </si>
  <si>
    <t>Motor Driver</t>
  </si>
  <si>
    <t>Double BTS7960 43A H-Bridge</t>
  </si>
  <si>
    <t>Module ~70x50mm</t>
  </si>
  <si>
    <t>Powerful driver for two motors</t>
  </si>
  <si>
    <t>https://waslleh.com/product/double-bts7960-43a-h-bridge/</t>
  </si>
  <si>
    <t>Battery</t>
  </si>
  <si>
    <t>Power Source</t>
  </si>
  <si>
    <t>~103x34x22mm</t>
  </si>
  <si>
    <t>Official recommended power type</t>
  </si>
  <si>
    <t>Wiring</t>
  </si>
  <si>
    <t>Power Wire</t>
  </si>
  <si>
    <t>16 AWG Silicone Wire</t>
  </si>
  <si>
    <t>Red/Black set</t>
  </si>
  <si>
    <t>For battery and motors</t>
  </si>
  <si>
    <t>https://waslleh.com/product-category/electronics/wires-cables/</t>
  </si>
  <si>
    <t>Signal Wire</t>
  </si>
  <si>
    <t>22-26 AWG wires</t>
  </si>
  <si>
    <t>Dupont/JST</t>
  </si>
  <si>
    <t>For sensors &amp; Arduino</t>
  </si>
  <si>
    <t>Connectors</t>
  </si>
  <si>
    <t>XT60 Set</t>
  </si>
  <si>
    <t>XT60 Male/Female pair</t>
  </si>
  <si>
    <t>Standard battery connector</t>
  </si>
  <si>
    <t>Matches LiPo battery</t>
  </si>
  <si>
    <t>https://waslleh.com/product/xt60-pair-connector/</t>
  </si>
  <si>
    <t>Mechanical</t>
  </si>
  <si>
    <t>Fasteners</t>
  </si>
  <si>
    <t>M3 screw &amp; nut kit</t>
  </si>
  <si>
    <t>Assorted lengths</t>
  </si>
  <si>
    <t>Line Sensor</t>
  </si>
  <si>
    <t>IR Sensor</t>
  </si>
  <si>
    <t>12.7x7.6mm</t>
  </si>
  <si>
    <t>29.5x13mm</t>
  </si>
  <si>
    <t>Sensor</t>
  </si>
  <si>
    <t>comes in 2</t>
  </si>
  <si>
    <t>range 10cm - 80cm</t>
  </si>
  <si>
    <t>JSUMO Titan 12V 200RPM</t>
  </si>
  <si>
    <t>JSUMO Micro Line Sensor ML1</t>
  </si>
  <si>
    <t>https://waslleh.com/product/jsumo-titan-dc-gearhead-motor-12v-200-rpm-601/</t>
  </si>
  <si>
    <t>JSUMO JS5230 Aluminum – Silicone Wheel Set (52 x 30mm – Pair)</t>
  </si>
  <si>
    <t>https://waslleh.com/product/jsumo-js5230-aluminum-silicone-wheel-set-52-x-30mm-pair/</t>
  </si>
  <si>
    <t>https://waslleh.com/product/jsumo-micro-line-sensor-ml1/</t>
  </si>
  <si>
    <t>JSUMO JS40F Digital Distance Sensor</t>
  </si>
  <si>
    <t>https://waslleh.com/product/jsumo-js40f-digital-distance-sensor/</t>
  </si>
  <si>
    <t>TCBWORTH Lipo Battery 3s 11.1v – 3000mAh 60C XT60</t>
  </si>
  <si>
    <t>https://waslleh.com/product/tcbworth-lipo-battery-3s-11-1v-3000mah-60c-xt60/</t>
  </si>
  <si>
    <t>micro controller</t>
  </si>
  <si>
    <t>arduino</t>
  </si>
  <si>
    <t>nano</t>
  </si>
  <si>
    <t>https://waslleh.com/product/arduino-nano-original/</t>
  </si>
  <si>
    <t>sheild</t>
  </si>
  <si>
    <t xml:space="preserve">nano sheild </t>
  </si>
  <si>
    <t>ezz mnasrah</t>
  </si>
  <si>
    <t>https://waslleh.com/product/jsumo-hss-sumo-robot-blade-no2/</t>
  </si>
  <si>
    <t>JSUMO HSS Sumo Robot Blade No:2</t>
  </si>
  <si>
    <t xml:space="preserve">blade </t>
  </si>
  <si>
    <t>design</t>
  </si>
  <si>
    <t>magnatic</t>
  </si>
  <si>
    <t>softwer and hardwer</t>
  </si>
  <si>
    <t>3d printing</t>
  </si>
  <si>
    <t>تقريبا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</si>
</sst>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IBM Plex Sans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0" xfId="0" applyFont="1"/>
    <xf numFmtId="0" fontId="3" fillId="0" borderId="0" xfId="0" applyFont="1" applyAlignment="1">
      <alignment horizontal="right" vertical="center" indent="4"/>
    </xf>
    <xf numFmtId="0" fontId="0" fillId="2" borderId="0" xfId="0" applyFill="1"/>
    <xf numFmtId="0" fontId="2" fillId="2" borderId="0" xfId="0" applyFont="1" applyFill="1"/>
    <xf numFmtId="0" fontId="4" fillId="0" borderId="1" xfId="0" applyFont="1" applyBorder="1" applyAlignment="1">
      <alignment wrapText="1"/>
    </xf>
    <xf numFmtId="0" fontId="5" fillId="0" borderId="1" xfId="1" applyFont="1" applyBorder="1" applyAlignment="1">
      <alignment wrapText="1"/>
    </xf>
    <xf numFmtId="0" fontId="4" fillId="0" borderId="0" xfId="0" applyFont="1"/>
    <xf numFmtId="0" fontId="4" fillId="2" borderId="1" xfId="0" applyFont="1" applyFill="1" applyBorder="1" applyAlignment="1">
      <alignment wrapText="1"/>
    </xf>
    <xf numFmtId="0" fontId="5" fillId="2" borderId="1" xfId="1" applyFont="1" applyFill="1" applyBorder="1" applyAlignment="1">
      <alignment wrapText="1"/>
    </xf>
    <xf numFmtId="0" fontId="4" fillId="2" borderId="0" xfId="0" applyFont="1" applyFill="1"/>
    <xf numFmtId="0" fontId="4" fillId="0" borderId="2" xfId="0" applyFont="1" applyFill="1" applyBorder="1" applyAlignment="1">
      <alignment wrapText="1"/>
    </xf>
    <xf numFmtId="0" fontId="3" fillId="2" borderId="0" xfId="0" applyFont="1" applyFill="1" applyAlignment="1">
      <alignment horizontal="right" vertical="center" indent="4"/>
    </xf>
    <xf numFmtId="0" fontId="4" fillId="2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aslleh.com/product-category/electronics/wires-cables/" TargetMode="External"/><Relationship Id="rId2" Type="http://schemas.openxmlformats.org/officeDocument/2006/relationships/hyperlink" Target="https://waslleh.com/product/xt60-pair-connector/" TargetMode="External"/><Relationship Id="rId1" Type="http://schemas.openxmlformats.org/officeDocument/2006/relationships/hyperlink" Target="https://waslleh.com/product/double-bts7960-43a-h-bridge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aslleh.com/product-category/electronics/wires-cabl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topLeftCell="A13" zoomScale="85" zoomScaleNormal="68" workbookViewId="0">
      <selection activeCell="I22" sqref="I22"/>
    </sheetView>
  </sheetViews>
  <sheetFormatPr defaultRowHeight="14.5" x14ac:dyDescent="0.35"/>
  <cols>
    <col min="2" max="3" width="26" customWidth="1"/>
    <col min="8" max="8" width="24" customWidth="1"/>
    <col min="9" max="9" width="30" customWidth="1"/>
    <col min="10" max="10" width="55" customWidth="1"/>
  </cols>
  <sheetData>
    <row r="1" spans="1:13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ht="26.5" x14ac:dyDescent="0.35">
      <c r="A2" s="6" t="s">
        <v>10</v>
      </c>
      <c r="B2" s="6" t="s">
        <v>11</v>
      </c>
      <c r="C2" s="6" t="s">
        <v>57</v>
      </c>
      <c r="D2" s="6">
        <v>4</v>
      </c>
      <c r="E2" s="6">
        <v>26</v>
      </c>
      <c r="F2" s="6">
        <f t="shared" ref="F2:F18" si="0">D2*E2</f>
        <v>104</v>
      </c>
      <c r="G2" s="6">
        <v>180</v>
      </c>
      <c r="H2" s="6" t="s">
        <v>12</v>
      </c>
      <c r="I2" s="6" t="s">
        <v>13</v>
      </c>
      <c r="J2" s="7" t="s">
        <v>59</v>
      </c>
      <c r="K2" s="8"/>
      <c r="L2" s="2" t="s">
        <v>14</v>
      </c>
      <c r="M2" s="2">
        <f>SUM(F2:F95)</f>
        <v>1043.1799999999998</v>
      </c>
    </row>
    <row r="3" spans="1:13" s="4" customFormat="1" ht="26.5" x14ac:dyDescent="0.35">
      <c r="A3" s="9" t="s">
        <v>15</v>
      </c>
      <c r="B3" s="9" t="s">
        <v>16</v>
      </c>
      <c r="C3" s="13" t="s">
        <v>60</v>
      </c>
      <c r="D3" s="9">
        <v>2</v>
      </c>
      <c r="E3" s="9">
        <v>32</v>
      </c>
      <c r="F3" s="9">
        <f t="shared" si="0"/>
        <v>64</v>
      </c>
      <c r="G3" s="9">
        <v>200</v>
      </c>
      <c r="H3" s="9" t="s">
        <v>17</v>
      </c>
      <c r="I3" s="9" t="s">
        <v>18</v>
      </c>
      <c r="J3" s="10" t="s">
        <v>61</v>
      </c>
      <c r="K3" s="11"/>
      <c r="L3" s="5" t="s">
        <v>19</v>
      </c>
      <c r="M3" s="5" t="e">
        <f>#REF!-M2</f>
        <v>#REF!</v>
      </c>
    </row>
    <row r="4" spans="1:13" x14ac:dyDescent="0.35">
      <c r="A4" s="6" t="s">
        <v>20</v>
      </c>
      <c r="B4" s="6" t="s">
        <v>21</v>
      </c>
      <c r="C4" s="6" t="s">
        <v>22</v>
      </c>
      <c r="D4" s="6">
        <v>2</v>
      </c>
      <c r="E4" s="6">
        <v>11.41</v>
      </c>
      <c r="F4" s="6">
        <f t="shared" si="0"/>
        <v>22.82</v>
      </c>
      <c r="G4" s="6">
        <v>55</v>
      </c>
      <c r="H4" s="6" t="s">
        <v>23</v>
      </c>
      <c r="I4" s="6" t="s">
        <v>24</v>
      </c>
      <c r="J4" s="7" t="s">
        <v>25</v>
      </c>
      <c r="K4" s="8"/>
    </row>
    <row r="5" spans="1:13" s="4" customFormat="1" x14ac:dyDescent="0.35">
      <c r="A5" s="9" t="s">
        <v>54</v>
      </c>
      <c r="B5" s="9" t="s">
        <v>50</v>
      </c>
      <c r="C5" s="14" t="s">
        <v>58</v>
      </c>
      <c r="D5" s="9">
        <v>4</v>
      </c>
      <c r="E5" s="9">
        <v>2.2999999999999998</v>
      </c>
      <c r="F5" s="9">
        <f t="shared" si="0"/>
        <v>9.1999999999999993</v>
      </c>
      <c r="G5" s="9">
        <v>2</v>
      </c>
      <c r="H5" s="9" t="s">
        <v>52</v>
      </c>
      <c r="I5" s="9" t="s">
        <v>55</v>
      </c>
      <c r="J5" s="10" t="s">
        <v>62</v>
      </c>
      <c r="K5" s="11"/>
    </row>
    <row r="6" spans="1:13" s="4" customFormat="1" x14ac:dyDescent="0.35">
      <c r="A6" s="9" t="s">
        <v>54</v>
      </c>
      <c r="B6" s="9" t="s">
        <v>51</v>
      </c>
      <c r="C6" s="13" t="s">
        <v>63</v>
      </c>
      <c r="D6" s="9">
        <v>4</v>
      </c>
      <c r="E6" s="9">
        <v>12.66</v>
      </c>
      <c r="F6" s="9">
        <f t="shared" si="0"/>
        <v>50.64</v>
      </c>
      <c r="G6" s="9">
        <v>7</v>
      </c>
      <c r="H6" s="9" t="s">
        <v>53</v>
      </c>
      <c r="I6" s="9" t="s">
        <v>56</v>
      </c>
      <c r="J6" s="10" t="s">
        <v>64</v>
      </c>
      <c r="K6" s="11"/>
    </row>
    <row r="7" spans="1:13" s="4" customFormat="1" ht="26.5" x14ac:dyDescent="0.35">
      <c r="A7" s="9" t="s">
        <v>26</v>
      </c>
      <c r="B7" s="9" t="s">
        <v>27</v>
      </c>
      <c r="C7" s="13" t="s">
        <v>65</v>
      </c>
      <c r="D7" s="9">
        <v>1</v>
      </c>
      <c r="E7" s="9">
        <v>40</v>
      </c>
      <c r="F7" s="9">
        <f t="shared" si="0"/>
        <v>40</v>
      </c>
      <c r="G7" s="9">
        <v>230</v>
      </c>
      <c r="H7" s="9" t="s">
        <v>28</v>
      </c>
      <c r="I7" s="9" t="s">
        <v>29</v>
      </c>
      <c r="J7" s="10" t="s">
        <v>66</v>
      </c>
      <c r="K7" s="11"/>
    </row>
    <row r="8" spans="1:13" x14ac:dyDescent="0.35">
      <c r="A8" s="6" t="s">
        <v>30</v>
      </c>
      <c r="B8" s="6" t="s">
        <v>31</v>
      </c>
      <c r="C8" s="6" t="s">
        <v>32</v>
      </c>
      <c r="D8" s="6">
        <v>1</v>
      </c>
      <c r="E8" s="6">
        <v>5</v>
      </c>
      <c r="F8" s="6">
        <f t="shared" si="0"/>
        <v>5</v>
      </c>
      <c r="G8" s="6">
        <v>50</v>
      </c>
      <c r="H8" s="6" t="s">
        <v>33</v>
      </c>
      <c r="I8" s="6" t="s">
        <v>34</v>
      </c>
      <c r="J8" s="7" t="s">
        <v>35</v>
      </c>
      <c r="K8" s="8"/>
    </row>
    <row r="9" spans="1:13" x14ac:dyDescent="0.35">
      <c r="A9" s="6" t="s">
        <v>30</v>
      </c>
      <c r="B9" s="6" t="s">
        <v>36</v>
      </c>
      <c r="C9" s="6" t="s">
        <v>37</v>
      </c>
      <c r="D9" s="6">
        <v>1</v>
      </c>
      <c r="E9" s="6">
        <v>4</v>
      </c>
      <c r="F9" s="6">
        <f t="shared" si="0"/>
        <v>4</v>
      </c>
      <c r="G9" s="6">
        <v>30</v>
      </c>
      <c r="H9" s="6" t="s">
        <v>38</v>
      </c>
      <c r="I9" s="6" t="s">
        <v>39</v>
      </c>
      <c r="J9" s="7" t="s">
        <v>35</v>
      </c>
      <c r="K9" s="8"/>
    </row>
    <row r="10" spans="1:13" ht="26.5" x14ac:dyDescent="0.35">
      <c r="A10" s="6" t="s">
        <v>40</v>
      </c>
      <c r="B10" s="6" t="s">
        <v>41</v>
      </c>
      <c r="C10" s="6" t="s">
        <v>42</v>
      </c>
      <c r="D10" s="6">
        <v>1</v>
      </c>
      <c r="E10" s="6">
        <v>2.93</v>
      </c>
      <c r="F10" s="6">
        <f t="shared" si="0"/>
        <v>2.93</v>
      </c>
      <c r="G10" s="6">
        <v>15</v>
      </c>
      <c r="H10" s="6" t="s">
        <v>43</v>
      </c>
      <c r="I10" s="6" t="s">
        <v>44</v>
      </c>
      <c r="J10" s="7" t="s">
        <v>45</v>
      </c>
      <c r="K10" s="8"/>
    </row>
    <row r="11" spans="1:13" ht="26.5" x14ac:dyDescent="0.35">
      <c r="A11" s="6" t="s">
        <v>46</v>
      </c>
      <c r="B11" s="6" t="s">
        <v>47</v>
      </c>
      <c r="C11" s="6" t="s">
        <v>48</v>
      </c>
      <c r="D11" s="6">
        <v>1</v>
      </c>
      <c r="E11" s="6">
        <v>6</v>
      </c>
      <c r="F11" s="6">
        <f t="shared" si="0"/>
        <v>6</v>
      </c>
      <c r="G11" s="6">
        <v>120</v>
      </c>
      <c r="H11" s="6" t="s">
        <v>49</v>
      </c>
      <c r="I11" s="6"/>
      <c r="J11" s="7"/>
      <c r="K11" s="8"/>
    </row>
    <row r="12" spans="1:13" ht="26.5" x14ac:dyDescent="0.35">
      <c r="A12" s="12" t="s">
        <v>67</v>
      </c>
      <c r="B12" s="12" t="s">
        <v>68</v>
      </c>
      <c r="C12" s="12" t="s">
        <v>69</v>
      </c>
      <c r="D12" s="12">
        <v>1</v>
      </c>
      <c r="E12" s="12">
        <v>6</v>
      </c>
      <c r="F12" s="12">
        <f t="shared" si="0"/>
        <v>6</v>
      </c>
      <c r="G12" s="8"/>
      <c r="H12" s="8"/>
      <c r="I12" s="8"/>
      <c r="J12" s="8" t="s">
        <v>70</v>
      </c>
      <c r="K12" s="8"/>
    </row>
    <row r="13" spans="1:13" x14ac:dyDescent="0.35">
      <c r="A13" s="12" t="s">
        <v>71</v>
      </c>
      <c r="B13" s="12" t="s">
        <v>72</v>
      </c>
      <c r="C13" s="12" t="s">
        <v>73</v>
      </c>
      <c r="D13" s="12">
        <v>1</v>
      </c>
      <c r="E13" s="12">
        <v>20</v>
      </c>
      <c r="F13" s="12">
        <f t="shared" si="0"/>
        <v>20</v>
      </c>
      <c r="G13" s="8"/>
      <c r="H13" s="8"/>
      <c r="I13" s="8"/>
      <c r="J13" s="8" t="s">
        <v>74</v>
      </c>
      <c r="K13" s="8"/>
    </row>
    <row r="14" spans="1:13" x14ac:dyDescent="0.35">
      <c r="A14" s="12" t="s">
        <v>76</v>
      </c>
      <c r="B14" s="12" t="s">
        <v>76</v>
      </c>
      <c r="C14" s="3" t="s">
        <v>75</v>
      </c>
      <c r="D14" s="12">
        <v>1</v>
      </c>
      <c r="E14" s="12">
        <v>42</v>
      </c>
      <c r="F14" s="12">
        <f t="shared" si="0"/>
        <v>42</v>
      </c>
      <c r="G14" s="8"/>
      <c r="H14" s="8"/>
      <c r="I14" s="8"/>
      <c r="J14" s="8"/>
      <c r="K14" s="8"/>
    </row>
    <row r="15" spans="1:13" x14ac:dyDescent="0.35">
      <c r="A15" s="12" t="s">
        <v>78</v>
      </c>
      <c r="B15" s="8" t="s">
        <v>78</v>
      </c>
      <c r="C15" s="8" t="s">
        <v>78</v>
      </c>
      <c r="D15" s="12">
        <v>10</v>
      </c>
      <c r="E15" s="12">
        <v>1</v>
      </c>
      <c r="F15" s="12">
        <f t="shared" si="0"/>
        <v>10</v>
      </c>
      <c r="G15" t="s">
        <v>81</v>
      </c>
      <c r="H15" s="8"/>
      <c r="I15" s="8"/>
      <c r="J15" s="8"/>
      <c r="K15" s="8"/>
    </row>
    <row r="16" spans="1:13" x14ac:dyDescent="0.35">
      <c r="A16" s="12" t="s">
        <v>77</v>
      </c>
      <c r="B16" s="12" t="s">
        <v>77</v>
      </c>
      <c r="C16" s="12" t="s">
        <v>77</v>
      </c>
      <c r="D16" s="12">
        <v>1</v>
      </c>
      <c r="E16" s="12">
        <v>60</v>
      </c>
      <c r="F16" s="12">
        <f t="shared" si="0"/>
        <v>60</v>
      </c>
      <c r="G16" t="s">
        <v>81</v>
      </c>
      <c r="H16" s="8"/>
      <c r="I16" s="8"/>
      <c r="J16" s="8"/>
      <c r="K16" s="8"/>
    </row>
    <row r="17" spans="1:11" ht="39.5" x14ac:dyDescent="0.35">
      <c r="A17" s="12" t="s">
        <v>79</v>
      </c>
      <c r="B17" s="12" t="s">
        <v>79</v>
      </c>
      <c r="C17" s="12" t="s">
        <v>79</v>
      </c>
      <c r="D17" s="12">
        <v>1</v>
      </c>
      <c r="E17" s="12">
        <v>60</v>
      </c>
      <c r="F17" s="12">
        <f t="shared" si="0"/>
        <v>60</v>
      </c>
      <c r="G17" t="s">
        <v>81</v>
      </c>
      <c r="H17" s="8"/>
      <c r="I17" s="8"/>
      <c r="J17" s="8"/>
      <c r="K17" s="8"/>
    </row>
    <row r="18" spans="1:11" ht="26.5" x14ac:dyDescent="0.35">
      <c r="A18" s="12" t="s">
        <v>80</v>
      </c>
      <c r="B18" s="12" t="s">
        <v>80</v>
      </c>
      <c r="C18" s="12" t="s">
        <v>80</v>
      </c>
      <c r="D18" s="12">
        <v>1</v>
      </c>
      <c r="E18" s="12">
        <v>15</v>
      </c>
      <c r="F18" s="12">
        <f t="shared" si="0"/>
        <v>15</v>
      </c>
      <c r="G18" t="s">
        <v>81</v>
      </c>
    </row>
    <row r="20" spans="1:11" x14ac:dyDescent="0.35">
      <c r="F20">
        <f>SUM(F2:F18)</f>
        <v>521.58999999999992</v>
      </c>
    </row>
  </sheetData>
  <hyperlinks>
    <hyperlink ref="J4" r:id="rId1" xr:uid="{00000000-0004-0000-0000-000003000000}"/>
    <hyperlink ref="J10" r:id="rId2" xr:uid="{00000000-0004-0000-0000-000004000000}"/>
    <hyperlink ref="J9" r:id="rId3" xr:uid="{00000000-0004-0000-0000-00000C000000}"/>
    <hyperlink ref="J8" r:id="rId4" xr:uid="{00000000-0004-0000-0000-00000D000000}"/>
  </hyperlinks>
  <pageMargins left="0.75" right="0.75" top="1" bottom="1" header="0.5" footer="0.5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Waslleh Sumo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2026-02-03T18:53:20Z</dcterms:created>
  <dcterms:modified xsi:type="dcterms:W3CDTF">2026-02-06T20:41:29Z</dcterms:modified>
</cp:coreProperties>
</file>